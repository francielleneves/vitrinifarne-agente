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azos e Fretes" sheetId="1" state="visible" r:id="rId3"/>
    <sheet name="Faixas de Pes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<sst xmlns="http://schemas.openxmlformats.org/spreadsheetml/2006/main" count="41" uniqueCount="36">
  <si>
    <t xml:space="preserve">Vitrinifarne — Tabela de Prazos e Fretes por Região</t>
  </si>
  <si>
    <t xml:space="preserve">Versão 4.2 — atualizado em 01/07/2026 — Área responsável: Logística</t>
  </si>
  <si>
    <t xml:space="preserve">Prazos em dias úteis, contados da confirmação do pagamento. Frete base calculado para pedidos de até 5 kg.</t>
  </si>
  <si>
    <t xml:space="preserve">Região</t>
  </si>
  <si>
    <t xml:space="preserve">Prazo econômico mín. (dias)</t>
  </si>
  <si>
    <t xml:space="preserve">Prazo econômico máx. (dias)</t>
  </si>
  <si>
    <t xml:space="preserve">Prazo médio econômico (dias)</t>
  </si>
  <si>
    <t xml:space="preserve">Prazo expresso (dias)</t>
  </si>
  <si>
    <t xml:space="preserve">Frete base econômico (R$)</t>
  </si>
  <si>
    <t xml:space="preserve">Frete base expresso (R$)</t>
  </si>
  <si>
    <t xml:space="preserve">Frete grátis a partir de (R$)</t>
  </si>
  <si>
    <t xml:space="preserve">Expresso disponível</t>
  </si>
  <si>
    <t xml:space="preserve">Norte</t>
  </si>
  <si>
    <t xml:space="preserve">Parcial</t>
  </si>
  <si>
    <t xml:space="preserve">Nordeste - capitais</t>
  </si>
  <si>
    <t xml:space="preserve">Sim</t>
  </si>
  <si>
    <t xml:space="preserve">Nordeste - interior</t>
  </si>
  <si>
    <t xml:space="preserve">Centro-Oeste</t>
  </si>
  <si>
    <t xml:space="preserve">Sudeste - capitais</t>
  </si>
  <si>
    <t xml:space="preserve">Sudeste - interior</t>
  </si>
  <si>
    <t xml:space="preserve">Sul</t>
  </si>
  <si>
    <t xml:space="preserve">Média geral</t>
  </si>
  <si>
    <t xml:space="preserve">"Parcial" em Expresso disponível significa que a modalidade não é ofertada em municípios classificados como área de difícil acesso pela transportadora.</t>
  </si>
  <si>
    <t xml:space="preserve">Acréscimo de frete por faixa de peso</t>
  </si>
  <si>
    <t xml:space="preserve">Aplicado sobre o frete base da aba Prazos e Fretes.</t>
  </si>
  <si>
    <t xml:space="preserve">Faixa de peso</t>
  </si>
  <si>
    <t xml:space="preserve">Peso mín. (kg)</t>
  </si>
  <si>
    <t xml:space="preserve">Peso máx. (kg)</t>
  </si>
  <si>
    <t xml:space="preserve">Acréscimo (%)</t>
  </si>
  <si>
    <t xml:space="preserve">Exemplo: frete Sudeste capitais (R$)</t>
  </si>
  <si>
    <t xml:space="preserve">Até 5 kg</t>
  </si>
  <si>
    <t xml:space="preserve">De 5,01 a 10 kg</t>
  </si>
  <si>
    <t xml:space="preserve">De 10,01 a 20 kg</t>
  </si>
  <si>
    <t xml:space="preserve">De 20,01 a 30 kg</t>
  </si>
  <si>
    <t xml:space="preserve">Acima de 30 kg</t>
  </si>
  <si>
    <t xml:space="preserve">Fonte do exemplo: frete base econômico de Sudeste - capitais (R$ 19,90), célula F10 da aba Prazos e Fretes.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</si>
</sst>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"/>
    <numFmt numFmtId="166" formatCode="0.0"/>
    <numFmt numFmtId="167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7" min="6" style="0" width="15"/>
    <col collapsed="false" customWidth="true" hidden="false" outlineLevel="0" max="8" min="8" style="0" width="16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42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</row>
    <row r="6" customFormat="false" ht="15" hidden="false" customHeight="false" outlineLevel="0" collapsed="false">
      <c r="A6" s="4" t="s">
        <v>12</v>
      </c>
      <c r="B6" s="5" t="n">
        <v>8</v>
      </c>
      <c r="C6" s="5" t="n">
        <v>12</v>
      </c>
      <c r="D6" s="5" t="n">
        <f aca="false">AVERAGE(B6:C6)</f>
        <v>10</v>
      </c>
      <c r="E6" s="5" t="n">
        <v>5</v>
      </c>
      <c r="F6" s="6" t="n">
        <v>39.9</v>
      </c>
      <c r="G6" s="6" t="n">
        <v>74.9</v>
      </c>
      <c r="H6" s="6" t="n">
        <v>499</v>
      </c>
      <c r="I6" s="4" t="s">
        <v>13</v>
      </c>
    </row>
    <row r="7" customFormat="false" ht="15" hidden="false" customHeight="false" outlineLevel="0" collapsed="false">
      <c r="A7" s="4" t="s">
        <v>14</v>
      </c>
      <c r="B7" s="5" t="n">
        <v>5</v>
      </c>
      <c r="C7" s="5" t="n">
        <v>8</v>
      </c>
      <c r="D7" s="5" t="n">
        <f aca="false">AVERAGE(B7:C7)</f>
        <v>6.5</v>
      </c>
      <c r="E7" s="5" t="n">
        <v>3</v>
      </c>
      <c r="F7" s="6" t="n">
        <v>24.9</v>
      </c>
      <c r="G7" s="6" t="n">
        <v>49.9</v>
      </c>
      <c r="H7" s="6" t="n">
        <v>299</v>
      </c>
      <c r="I7" s="4" t="s">
        <v>15</v>
      </c>
    </row>
    <row r="8" customFormat="false" ht="15" hidden="false" customHeight="false" outlineLevel="0" collapsed="false">
      <c r="A8" s="4" t="s">
        <v>16</v>
      </c>
      <c r="B8" s="5" t="n">
        <v>7</v>
      </c>
      <c r="C8" s="5" t="n">
        <v>11</v>
      </c>
      <c r="D8" s="5" t="n">
        <f aca="false">AVERAGE(B8:C8)</f>
        <v>9</v>
      </c>
      <c r="E8" s="5" t="n">
        <v>5</v>
      </c>
      <c r="F8" s="6" t="n">
        <v>32.9</v>
      </c>
      <c r="G8" s="6" t="n">
        <v>59.9</v>
      </c>
      <c r="H8" s="6" t="n">
        <v>299</v>
      </c>
      <c r="I8" s="4" t="s">
        <v>13</v>
      </c>
    </row>
    <row r="9" customFormat="false" ht="15" hidden="false" customHeight="false" outlineLevel="0" collapsed="false">
      <c r="A9" s="4" t="s">
        <v>17</v>
      </c>
      <c r="B9" s="5" t="n">
        <v>6</v>
      </c>
      <c r="C9" s="5" t="n">
        <v>9</v>
      </c>
      <c r="D9" s="5" t="n">
        <f aca="false">AVERAGE(B9:C9)</f>
        <v>7.5</v>
      </c>
      <c r="E9" s="5" t="n">
        <v>4</v>
      </c>
      <c r="F9" s="6" t="n">
        <v>29.9</v>
      </c>
      <c r="G9" s="6" t="n">
        <v>54.9</v>
      </c>
      <c r="H9" s="6" t="n">
        <v>299</v>
      </c>
      <c r="I9" s="4" t="s">
        <v>15</v>
      </c>
    </row>
    <row r="10" customFormat="false" ht="15" hidden="false" customHeight="false" outlineLevel="0" collapsed="false">
      <c r="A10" s="4" t="s">
        <v>18</v>
      </c>
      <c r="B10" s="5" t="n">
        <v>3</v>
      </c>
      <c r="C10" s="5" t="n">
        <v>5</v>
      </c>
      <c r="D10" s="5" t="n">
        <f aca="false">AVERAGE(B10:C10)</f>
        <v>4</v>
      </c>
      <c r="E10" s="5" t="n">
        <v>2</v>
      </c>
      <c r="F10" s="6" t="n">
        <v>19.9</v>
      </c>
      <c r="G10" s="6" t="n">
        <v>39.9</v>
      </c>
      <c r="H10" s="6" t="n">
        <v>299</v>
      </c>
      <c r="I10" s="4" t="s">
        <v>15</v>
      </c>
    </row>
    <row r="11" customFormat="false" ht="15" hidden="false" customHeight="false" outlineLevel="0" collapsed="false">
      <c r="A11" s="4" t="s">
        <v>19</v>
      </c>
      <c r="B11" s="5" t="n">
        <v>4</v>
      </c>
      <c r="C11" s="5" t="n">
        <v>7</v>
      </c>
      <c r="D11" s="5" t="n">
        <f aca="false">AVERAGE(B11:C11)</f>
        <v>5.5</v>
      </c>
      <c r="E11" s="5" t="n">
        <v>3</v>
      </c>
      <c r="F11" s="6" t="n">
        <v>24.9</v>
      </c>
      <c r="G11" s="6" t="n">
        <v>44.9</v>
      </c>
      <c r="H11" s="6" t="n">
        <v>299</v>
      </c>
      <c r="I11" s="4" t="s">
        <v>15</v>
      </c>
    </row>
    <row r="12" customFormat="false" ht="15" hidden="false" customHeight="false" outlineLevel="0" collapsed="false">
      <c r="A12" s="4" t="s">
        <v>20</v>
      </c>
      <c r="B12" s="5" t="n">
        <v>4</v>
      </c>
      <c r="C12" s="5" t="n">
        <v>7</v>
      </c>
      <c r="D12" s="5" t="n">
        <f aca="false">AVERAGE(B12:C12)</f>
        <v>5.5</v>
      </c>
      <c r="E12" s="5" t="n">
        <v>3</v>
      </c>
      <c r="F12" s="6" t="n">
        <v>22.9</v>
      </c>
      <c r="G12" s="6" t="n">
        <v>44.9</v>
      </c>
      <c r="H12" s="6" t="n">
        <v>299</v>
      </c>
      <c r="I12" s="4" t="s">
        <v>15</v>
      </c>
    </row>
    <row r="13" customFormat="false" ht="15" hidden="false" customHeight="false" outlineLevel="0" collapsed="false">
      <c r="A13" s="7" t="s">
        <v>21</v>
      </c>
      <c r="D13" s="8" t="n">
        <f aca="false">AVERAGE(D6:D12)</f>
        <v>6.85714285714286</v>
      </c>
      <c r="E13" s="8" t="n">
        <f aca="false">AVERAGE(E6:E12)</f>
        <v>3.57142857142857</v>
      </c>
      <c r="F13" s="9" t="n">
        <f aca="false">AVERAGE(F6:F12)</f>
        <v>27.9</v>
      </c>
      <c r="G13" s="9" t="n">
        <f aca="false">AVERAGE(G6:G12)</f>
        <v>52.7571428571429</v>
      </c>
    </row>
    <row r="15" customFormat="false" ht="15" hidden="false" customHeight="false" outlineLevel="0" collapsed="false">
      <c r="A15" s="1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4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24</v>
      </c>
    </row>
    <row r="4" customFormat="false" ht="23.85" hidden="false" customHeight="false" outlineLevel="0" collapsed="false">
      <c r="A4" s="11" t="s">
        <v>25</v>
      </c>
      <c r="B4" s="11" t="s">
        <v>26</v>
      </c>
      <c r="C4" s="11" t="s">
        <v>27</v>
      </c>
      <c r="D4" s="11" t="s">
        <v>28</v>
      </c>
      <c r="E4" s="11" t="s">
        <v>29</v>
      </c>
    </row>
    <row r="5" customFormat="false" ht="15" hidden="false" customHeight="false" outlineLevel="0" collapsed="false">
      <c r="A5" s="4" t="s">
        <v>30</v>
      </c>
      <c r="B5" s="4" t="n">
        <v>0</v>
      </c>
      <c r="C5" s="4" t="n">
        <v>5</v>
      </c>
      <c r="D5" s="12" t="n">
        <v>0</v>
      </c>
      <c r="E5" s="6" t="n">
        <f aca="false">'Prazos e Fretes'!$F$10*(1+D5)</f>
        <v>19.9</v>
      </c>
    </row>
    <row r="6" customFormat="false" ht="15" hidden="false" customHeight="false" outlineLevel="0" collapsed="false">
      <c r="A6" s="4" t="s">
        <v>31</v>
      </c>
      <c r="B6" s="4" t="n">
        <v>5.01</v>
      </c>
      <c r="C6" s="4" t="n">
        <v>10</v>
      </c>
      <c r="D6" s="12" t="n">
        <v>0.25</v>
      </c>
      <c r="E6" s="6" t="n">
        <f aca="false">'Prazos e Fretes'!$F$10*(1+D6)</f>
        <v>24.875</v>
      </c>
    </row>
    <row r="7" customFormat="false" ht="15" hidden="false" customHeight="false" outlineLevel="0" collapsed="false">
      <c r="A7" s="4" t="s">
        <v>32</v>
      </c>
      <c r="B7" s="4" t="n">
        <v>10.01</v>
      </c>
      <c r="C7" s="4" t="n">
        <v>20</v>
      </c>
      <c r="D7" s="12" t="n">
        <v>0.6</v>
      </c>
      <c r="E7" s="6" t="n">
        <f aca="false">'Prazos e Fretes'!$F$10*(1+D7)</f>
        <v>31.84</v>
      </c>
    </row>
    <row r="8" customFormat="false" ht="15" hidden="false" customHeight="false" outlineLevel="0" collapsed="false">
      <c r="A8" s="4" t="s">
        <v>33</v>
      </c>
      <c r="B8" s="4" t="n">
        <v>20.01</v>
      </c>
      <c r="C8" s="4" t="n">
        <v>30</v>
      </c>
      <c r="D8" s="12" t="n">
        <v>1.1</v>
      </c>
      <c r="E8" s="6" t="n">
        <f aca="false">'Prazos e Fretes'!$F$10*(1+D8)</f>
        <v>41.79</v>
      </c>
    </row>
    <row r="9" customFormat="false" ht="15" hidden="false" customHeight="false" outlineLevel="0" collapsed="false">
      <c r="A9" s="4" t="s">
        <v>34</v>
      </c>
      <c r="B9" s="4" t="n">
        <v>30.01</v>
      </c>
      <c r="C9" s="4" t="n">
        <v>999</v>
      </c>
      <c r="D9" s="12" t="n">
        <v>1.8</v>
      </c>
      <c r="E9" s="6" t="n">
        <f aca="false">'Prazos e Fretes'!$F$10*(1+D9)</f>
        <v>55.72</v>
      </c>
    </row>
    <row r="11" customFormat="false" ht="15" hidden="false" customHeight="false" outlineLevel="0" collapsed="false">
      <c r="A11" s="1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2026-07-29T16:29:39Z</dcterms:created>
  <dc:creator>openpyxl</dc:creator>
  <dc:description/>
  <dc:language>en-US</dc:language>
  <cp:lastModifiedBy/>
  <dcterms:modified xsi:type="dcterms:W3CDTF">2026-07-29T16:29:39Z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