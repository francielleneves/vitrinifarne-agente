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azos e Fretes" sheetId="1" state="visible" r:id="rId3"/>
    <sheet name="Faixas de Peso" sheetId="2" state="visible" r:id="rId4"/>
    <sheet name="Estados por Regia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<sst xmlns="http://schemas.openxmlformats.org/spreadsheetml/2006/main" count="184" uniqueCount="124">
  <si>
    <t xml:space="preserve">Vitrinifarne — Tabela de Prazos e Fretes por Região</t>
  </si>
  <si>
    <t xml:space="preserve">Versão 4.2 — atualizado em 01/07/2026 — Área responsável: Logística</t>
  </si>
  <si>
    <t xml:space="preserve">Prazos em dias úteis, contados da confirmação do pagamento. Frete base calculado para pedidos de até 5 kg.</t>
  </si>
  <si>
    <t xml:space="preserve">Região</t>
  </si>
  <si>
    <t xml:space="preserve">Prazo econômico mín. (dias)</t>
  </si>
  <si>
    <t xml:space="preserve">Prazo econômico máx. (dias)</t>
  </si>
  <si>
    <t xml:space="preserve">Prazo médio econômico (dias)</t>
  </si>
  <si>
    <t xml:space="preserve">Prazo expresso (dias)</t>
  </si>
  <si>
    <t xml:space="preserve">Frete base econômico (R$)</t>
  </si>
  <si>
    <t xml:space="preserve">Frete base expresso (R$)</t>
  </si>
  <si>
    <t xml:space="preserve">Frete grátis a partir de (R$)</t>
  </si>
  <si>
    <t xml:space="preserve">Expresso disponível</t>
  </si>
  <si>
    <t xml:space="preserve">Norte</t>
  </si>
  <si>
    <t xml:space="preserve">Parcial</t>
  </si>
  <si>
    <t xml:space="preserve">Nordeste - capitais</t>
  </si>
  <si>
    <t xml:space="preserve">Sim</t>
  </si>
  <si>
    <t xml:space="preserve">Nordeste - interior</t>
  </si>
  <si>
    <t xml:space="preserve">Centro-Oeste</t>
  </si>
  <si>
    <t xml:space="preserve">Sudeste - capitais</t>
  </si>
  <si>
    <t xml:space="preserve">Sudeste - interior</t>
  </si>
  <si>
    <t xml:space="preserve">Sul</t>
  </si>
  <si>
    <t xml:space="preserve">Média geral</t>
  </si>
  <si>
    <t xml:space="preserve">"Parcial" em Expresso disponível significa que a modalidade não é ofertada em municípios classificados como área de difícil acesso pela transportadora.</t>
  </si>
  <si>
    <t xml:space="preserve">Acréscimo de frete por faixa de peso</t>
  </si>
  <si>
    <t xml:space="preserve">Aplicado sobre o frete base da aba Prazos e Fretes.</t>
  </si>
  <si>
    <t xml:space="preserve">Faixa de peso</t>
  </si>
  <si>
    <t xml:space="preserve">Peso mín. (kg)</t>
  </si>
  <si>
    <t xml:space="preserve">Peso máx. (kg)</t>
  </si>
  <si>
    <t xml:space="preserve">Acréscimo (%)</t>
  </si>
  <si>
    <t xml:space="preserve">Exemplo: frete Sudeste capitais (R$)</t>
  </si>
  <si>
    <t xml:space="preserve">Até 5 kg</t>
  </si>
  <si>
    <t xml:space="preserve">De 5,01 a 10 kg</t>
  </si>
  <si>
    <t xml:space="preserve">De 10,01 a 20 kg</t>
  </si>
  <si>
    <t xml:space="preserve">De 20,01 a 30 kg</t>
  </si>
  <si>
    <t xml:space="preserve">Acima de 30 kg</t>
  </si>
  <si>
    <t xml:space="preserve">Fonte do exemplo: frete base econômico de Sudeste - capitais (R$ 19,90), célula F10 da aba Prazos e Fretes.</t>
  </si>
  <si>
    <t xml:space="preserve">Classificação de estados e capitais por região de entrega</t>
  </si>
  <si>
    <t xml:space="preserve">Define em qual linha da aba Prazos e Fretes cada destino se enquadra. Capitais usam a faixa de capital; demais municípios usam a faixa de interior.</t>
  </si>
  <si>
    <t xml:space="preserve">Estado</t>
  </si>
  <si>
    <t xml:space="preserve">Sigla</t>
  </si>
  <si>
    <t xml:space="preserve">Capital</t>
  </si>
  <si>
    <t xml:space="preserve">Faixa de prazo aplicável</t>
  </si>
  <si>
    <t xml:space="preserve">Acre</t>
  </si>
  <si>
    <t xml:space="preserve">AC</t>
  </si>
  <si>
    <t xml:space="preserve">Rio Branco</t>
  </si>
  <si>
    <t xml:space="preserve">Amapa</t>
  </si>
  <si>
    <t xml:space="preserve">AP</t>
  </si>
  <si>
    <t xml:space="preserve">Macapa</t>
  </si>
  <si>
    <t xml:space="preserve">Amazonas</t>
  </si>
  <si>
    <t xml:space="preserve">AM</t>
  </si>
  <si>
    <t xml:space="preserve">Manaus</t>
  </si>
  <si>
    <t xml:space="preserve">Para</t>
  </si>
  <si>
    <t xml:space="preserve">PA</t>
  </si>
  <si>
    <t xml:space="preserve">Belem</t>
  </si>
  <si>
    <t xml:space="preserve">Rondonia</t>
  </si>
  <si>
    <t xml:space="preserve">RO</t>
  </si>
  <si>
    <t xml:space="preserve">Porto Velho</t>
  </si>
  <si>
    <t xml:space="preserve">Roraima</t>
  </si>
  <si>
    <t xml:space="preserve">RR</t>
  </si>
  <si>
    <t xml:space="preserve">Boa Vista</t>
  </si>
  <si>
    <t xml:space="preserve">Tocantins</t>
  </si>
  <si>
    <t xml:space="preserve">TO</t>
  </si>
  <si>
    <t xml:space="preserve">Palmas</t>
  </si>
  <si>
    <t xml:space="preserve">Alagoas</t>
  </si>
  <si>
    <t xml:space="preserve">AL</t>
  </si>
  <si>
    <t xml:space="preserve">Maceio</t>
  </si>
  <si>
    <t xml:space="preserve">Nordeste</t>
  </si>
  <si>
    <t xml:space="preserve">Bahia</t>
  </si>
  <si>
    <t xml:space="preserve">BA</t>
  </si>
  <si>
    <t xml:space="preserve">Salvador</t>
  </si>
  <si>
    <t xml:space="preserve">Ceara</t>
  </si>
  <si>
    <t xml:space="preserve">CE</t>
  </si>
  <si>
    <t xml:space="preserve">Fortaleza</t>
  </si>
  <si>
    <t xml:space="preserve">Maranhao</t>
  </si>
  <si>
    <t xml:space="preserve">MA</t>
  </si>
  <si>
    <t xml:space="preserve">Sao Luis</t>
  </si>
  <si>
    <t xml:space="preserve">Paraiba</t>
  </si>
  <si>
    <t xml:space="preserve">PB</t>
  </si>
  <si>
    <t xml:space="preserve">Joao Pessoa</t>
  </si>
  <si>
    <t xml:space="preserve">Pernambuco</t>
  </si>
  <si>
    <t xml:space="preserve">PE</t>
  </si>
  <si>
    <t xml:space="preserve">Recife</t>
  </si>
  <si>
    <t xml:space="preserve">Piaui</t>
  </si>
  <si>
    <t xml:space="preserve">PI</t>
  </si>
  <si>
    <t xml:space="preserve">Teresina</t>
  </si>
  <si>
    <t xml:space="preserve">Rio Grande do Norte</t>
  </si>
  <si>
    <t xml:space="preserve">RN</t>
  </si>
  <si>
    <t xml:space="preserve">Natal</t>
  </si>
  <si>
    <t xml:space="preserve">Sergipe</t>
  </si>
  <si>
    <t xml:space="preserve">SE</t>
  </si>
  <si>
    <t xml:space="preserve">Aracaju</t>
  </si>
  <si>
    <t xml:space="preserve">Distrito Federal</t>
  </si>
  <si>
    <t xml:space="preserve">DF</t>
  </si>
  <si>
    <t xml:space="preserve">Brasilia</t>
  </si>
  <si>
    <t xml:space="preserve">Goias</t>
  </si>
  <si>
    <t xml:space="preserve">GO</t>
  </si>
  <si>
    <t xml:space="preserve">Goiania</t>
  </si>
  <si>
    <t xml:space="preserve">Mato Grosso</t>
  </si>
  <si>
    <t xml:space="preserve">MT</t>
  </si>
  <si>
    <t xml:space="preserve">Cuiaba</t>
  </si>
  <si>
    <t xml:space="preserve">Mato Grosso do Sul</t>
  </si>
  <si>
    <t xml:space="preserve">MS</t>
  </si>
  <si>
    <t xml:space="preserve">Campo Grande</t>
  </si>
  <si>
    <t xml:space="preserve">Espirito Santo</t>
  </si>
  <si>
    <t xml:space="preserve">ES</t>
  </si>
  <si>
    <t xml:space="preserve">Vitoria</t>
  </si>
  <si>
    <t xml:space="preserve">Sudeste</t>
  </si>
  <si>
    <t xml:space="preserve">Minas Gerais</t>
  </si>
  <si>
    <t xml:space="preserve">MG</t>
  </si>
  <si>
    <t xml:space="preserve">Belo Horizonte</t>
  </si>
  <si>
    <t xml:space="preserve">Rio de Janeiro</t>
  </si>
  <si>
    <t xml:space="preserve">RJ</t>
  </si>
  <si>
    <t xml:space="preserve">Sao Paulo</t>
  </si>
  <si>
    <t xml:space="preserve">SP</t>
  </si>
  <si>
    <t xml:space="preserve">Parana</t>
  </si>
  <si>
    <t xml:space="preserve">PR</t>
  </si>
  <si>
    <t xml:space="preserve">Curitiba</t>
  </si>
  <si>
    <t xml:space="preserve">Rio Grande do Sul</t>
  </si>
  <si>
    <t xml:space="preserve">RS</t>
  </si>
  <si>
    <t xml:space="preserve">Porto Alegre</t>
  </si>
  <si>
    <t xml:space="preserve">Santa Catarina</t>
  </si>
  <si>
    <t xml:space="preserve">SC</t>
  </si>
  <si>
    <t xml:space="preserve">Florianopolis</t>
  </si>
  <si>
    <t xml:space="preserve">Municipios do interior do Nordeste usam a faixa Nordeste - interior. Municipios do interior do Sudeste usam a faixa Sudeste - interior.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</si>
</sst>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.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42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5" hidden="false" customHeight="false" outlineLevel="0" collapsed="false">
      <c r="A6" s="4" t="s">
        <v>12</v>
      </c>
      <c r="B6" s="5" t="n">
        <v>8</v>
      </c>
      <c r="C6" s="5" t="n">
        <v>12</v>
      </c>
      <c r="D6" s="5" t="n">
        <f aca="false">AVERAGE(B6:C6)</f>
        <v>10</v>
      </c>
      <c r="E6" s="5" t="n">
        <v>5</v>
      </c>
      <c r="F6" s="6" t="n">
        <v>39.9</v>
      </c>
      <c r="G6" s="6" t="n">
        <v>74.9</v>
      </c>
      <c r="H6" s="6" t="n">
        <v>499</v>
      </c>
      <c r="I6" s="4" t="s">
        <v>13</v>
      </c>
    </row>
    <row r="7" customFormat="false" ht="15" hidden="false" customHeight="false" outlineLevel="0" collapsed="false">
      <c r="A7" s="4" t="s">
        <v>14</v>
      </c>
      <c r="B7" s="5" t="n">
        <v>5</v>
      </c>
      <c r="C7" s="5" t="n">
        <v>8</v>
      </c>
      <c r="D7" s="5" t="n">
        <f aca="false">AVERAGE(B7:C7)</f>
        <v>6.5</v>
      </c>
      <c r="E7" s="5" t="n">
        <v>3</v>
      </c>
      <c r="F7" s="6" t="n">
        <v>24.9</v>
      </c>
      <c r="G7" s="6" t="n">
        <v>49.9</v>
      </c>
      <c r="H7" s="6" t="n">
        <v>299</v>
      </c>
      <c r="I7" s="4" t="s">
        <v>15</v>
      </c>
    </row>
    <row r="8" customFormat="false" ht="15" hidden="false" customHeight="false" outlineLevel="0" collapsed="false">
      <c r="A8" s="4" t="s">
        <v>16</v>
      </c>
      <c r="B8" s="5" t="n">
        <v>7</v>
      </c>
      <c r="C8" s="5" t="n">
        <v>11</v>
      </c>
      <c r="D8" s="5" t="n">
        <f aca="false">AVERAGE(B8:C8)</f>
        <v>9</v>
      </c>
      <c r="E8" s="5" t="n">
        <v>5</v>
      </c>
      <c r="F8" s="6" t="n">
        <v>32.9</v>
      </c>
      <c r="G8" s="6" t="n">
        <v>59.9</v>
      </c>
      <c r="H8" s="6" t="n">
        <v>299</v>
      </c>
      <c r="I8" s="4" t="s">
        <v>13</v>
      </c>
    </row>
    <row r="9" customFormat="false" ht="15" hidden="false" customHeight="false" outlineLevel="0" collapsed="false">
      <c r="A9" s="4" t="s">
        <v>17</v>
      </c>
      <c r="B9" s="5" t="n">
        <v>6</v>
      </c>
      <c r="C9" s="5" t="n">
        <v>9</v>
      </c>
      <c r="D9" s="5" t="n">
        <f aca="false">AVERAGE(B9:C9)</f>
        <v>7.5</v>
      </c>
      <c r="E9" s="5" t="n">
        <v>4</v>
      </c>
      <c r="F9" s="6" t="n">
        <v>29.9</v>
      </c>
      <c r="G9" s="6" t="n">
        <v>54.9</v>
      </c>
      <c r="H9" s="6" t="n">
        <v>299</v>
      </c>
      <c r="I9" s="4" t="s">
        <v>15</v>
      </c>
    </row>
    <row r="10" customFormat="false" ht="15" hidden="false" customHeight="false" outlineLevel="0" collapsed="false">
      <c r="A10" s="4" t="s">
        <v>18</v>
      </c>
      <c r="B10" s="5" t="n">
        <v>3</v>
      </c>
      <c r="C10" s="5" t="n">
        <v>5</v>
      </c>
      <c r="D10" s="5" t="n">
        <f aca="false">AVERAGE(B10:C10)</f>
        <v>4</v>
      </c>
      <c r="E10" s="5" t="n">
        <v>2</v>
      </c>
      <c r="F10" s="6" t="n">
        <v>19.9</v>
      </c>
      <c r="G10" s="6" t="n">
        <v>39.9</v>
      </c>
      <c r="H10" s="6" t="n">
        <v>299</v>
      </c>
      <c r="I10" s="4" t="s">
        <v>15</v>
      </c>
    </row>
    <row r="11" customFormat="false" ht="15" hidden="false" customHeight="false" outlineLevel="0" collapsed="false">
      <c r="A11" s="4" t="s">
        <v>19</v>
      </c>
      <c r="B11" s="5" t="n">
        <v>4</v>
      </c>
      <c r="C11" s="5" t="n">
        <v>7</v>
      </c>
      <c r="D11" s="5" t="n">
        <f aca="false">AVERAGE(B11:C11)</f>
        <v>5.5</v>
      </c>
      <c r="E11" s="5" t="n">
        <v>3</v>
      </c>
      <c r="F11" s="6" t="n">
        <v>24.9</v>
      </c>
      <c r="G11" s="6" t="n">
        <v>44.9</v>
      </c>
      <c r="H11" s="6" t="n">
        <v>299</v>
      </c>
      <c r="I11" s="4" t="s">
        <v>15</v>
      </c>
    </row>
    <row r="12" customFormat="false" ht="15" hidden="false" customHeight="false" outlineLevel="0" collapsed="false">
      <c r="A12" s="4" t="s">
        <v>20</v>
      </c>
      <c r="B12" s="5" t="n">
        <v>4</v>
      </c>
      <c r="C12" s="5" t="n">
        <v>7</v>
      </c>
      <c r="D12" s="5" t="n">
        <f aca="false">AVERAGE(B12:C12)</f>
        <v>5.5</v>
      </c>
      <c r="E12" s="5" t="n">
        <v>3</v>
      </c>
      <c r="F12" s="6" t="n">
        <v>22.9</v>
      </c>
      <c r="G12" s="6" t="n">
        <v>44.9</v>
      </c>
      <c r="H12" s="6" t="n">
        <v>299</v>
      </c>
      <c r="I12" s="4" t="s">
        <v>15</v>
      </c>
    </row>
    <row r="13" customFormat="false" ht="15" hidden="false" customHeight="false" outlineLevel="0" collapsed="false">
      <c r="A13" s="7" t="s">
        <v>21</v>
      </c>
      <c r="D13" s="8" t="n">
        <f aca="false">AVERAGE(D6:D12)</f>
        <v>6.85714285714286</v>
      </c>
      <c r="E13" s="8" t="n">
        <f aca="false">AVERAGE(E6:E12)</f>
        <v>3.57142857142857</v>
      </c>
      <c r="F13" s="9" t="n">
        <f aca="false">AVERAGE(F6:F12)</f>
        <v>27.9</v>
      </c>
      <c r="G13" s="9" t="n">
        <f aca="false">AVERAGE(G6:G12)</f>
        <v>52.7571428571429</v>
      </c>
    </row>
    <row r="15" customFormat="false" ht="15" hidden="false" customHeight="false" outlineLevel="0" collapsed="false">
      <c r="A15" s="1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23.85" hidden="false" customHeight="false" outlineLevel="0" collapsed="false">
      <c r="A4" s="11" t="s">
        <v>25</v>
      </c>
      <c r="B4" s="11" t="s">
        <v>26</v>
      </c>
      <c r="C4" s="11" t="s">
        <v>27</v>
      </c>
      <c r="D4" s="11" t="s">
        <v>28</v>
      </c>
      <c r="E4" s="11" t="s">
        <v>29</v>
      </c>
    </row>
    <row r="5" customFormat="false" ht="15" hidden="false" customHeight="false" outlineLevel="0" collapsed="false">
      <c r="A5" s="4" t="s">
        <v>30</v>
      </c>
      <c r="B5" s="4" t="n">
        <v>0</v>
      </c>
      <c r="C5" s="4" t="n">
        <v>5</v>
      </c>
      <c r="D5" s="12" t="n">
        <v>0</v>
      </c>
      <c r="E5" s="6" t="n">
        <f aca="false">'Prazos e Fretes'!$F$10*(1+D5)</f>
        <v>19.9</v>
      </c>
    </row>
    <row r="6" customFormat="false" ht="15" hidden="false" customHeight="false" outlineLevel="0" collapsed="false">
      <c r="A6" s="4" t="s">
        <v>31</v>
      </c>
      <c r="B6" s="4" t="n">
        <v>5.01</v>
      </c>
      <c r="C6" s="4" t="n">
        <v>10</v>
      </c>
      <c r="D6" s="12" t="n">
        <v>0.25</v>
      </c>
      <c r="E6" s="6" t="n">
        <f aca="false">'Prazos e Fretes'!$F$10*(1+D6)</f>
        <v>24.875</v>
      </c>
    </row>
    <row r="7" customFormat="false" ht="15" hidden="false" customHeight="false" outlineLevel="0" collapsed="false">
      <c r="A7" s="4" t="s">
        <v>32</v>
      </c>
      <c r="B7" s="4" t="n">
        <v>10.01</v>
      </c>
      <c r="C7" s="4" t="n">
        <v>20</v>
      </c>
      <c r="D7" s="12" t="n">
        <v>0.6</v>
      </c>
      <c r="E7" s="6" t="n">
        <f aca="false">'Prazos e Fretes'!$F$10*(1+D7)</f>
        <v>31.84</v>
      </c>
    </row>
    <row r="8" customFormat="false" ht="15" hidden="false" customHeight="false" outlineLevel="0" collapsed="false">
      <c r="A8" s="4" t="s">
        <v>33</v>
      </c>
      <c r="B8" s="4" t="n">
        <v>20.01</v>
      </c>
      <c r="C8" s="4" t="n">
        <v>30</v>
      </c>
      <c r="D8" s="12" t="n">
        <v>1.1</v>
      </c>
      <c r="E8" s="6" t="n">
        <f aca="false">'Prazos e Fretes'!$F$10*(1+D8)</f>
        <v>41.79</v>
      </c>
    </row>
    <row r="9" customFormat="false" ht="15" hidden="false" customHeight="false" outlineLevel="0" collapsed="false">
      <c r="A9" s="4" t="s">
        <v>34</v>
      </c>
      <c r="B9" s="4" t="n">
        <v>30.01</v>
      </c>
      <c r="C9" s="4" t="n">
        <v>999</v>
      </c>
      <c r="D9" s="12" t="n">
        <v>1.8</v>
      </c>
      <c r="E9" s="6" t="n">
        <f aca="false">'Prazos e Fretes'!$F$10*(1+D9)</f>
        <v>55.72</v>
      </c>
    </row>
    <row r="11" customFormat="false" ht="15" hidden="false" customHeight="false" outlineLevel="0" collapsed="false">
      <c r="A11" s="1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11" t="s">
        <v>38</v>
      </c>
      <c r="B4" s="11" t="s">
        <v>39</v>
      </c>
      <c r="C4" s="11" t="s">
        <v>40</v>
      </c>
      <c r="D4" s="11" t="s">
        <v>3</v>
      </c>
      <c r="E4" s="11" t="s">
        <v>41</v>
      </c>
    </row>
    <row r="5" customFormat="false" ht="15" hidden="false" customHeight="false" outlineLevel="0" collapsed="false">
      <c r="A5" s="4" t="s">
        <v>42</v>
      </c>
      <c r="B5" s="4" t="s">
        <v>43</v>
      </c>
      <c r="C5" s="4" t="s">
        <v>44</v>
      </c>
      <c r="D5" s="4" t="s">
        <v>12</v>
      </c>
      <c r="E5" s="4" t="s">
        <v>12</v>
      </c>
    </row>
    <row r="6" customFormat="false" ht="15" hidden="false" customHeight="false" outlineLevel="0" collapsed="false">
      <c r="A6" s="4" t="s">
        <v>45</v>
      </c>
      <c r="B6" s="4" t="s">
        <v>46</v>
      </c>
      <c r="C6" s="4" t="s">
        <v>47</v>
      </c>
      <c r="D6" s="4" t="s">
        <v>12</v>
      </c>
      <c r="E6" s="4" t="s">
        <v>12</v>
      </c>
    </row>
    <row r="7" customFormat="false" ht="15" hidden="false" customHeight="false" outlineLevel="0" collapsed="false">
      <c r="A7" s="4" t="s">
        <v>48</v>
      </c>
      <c r="B7" s="4" t="s">
        <v>49</v>
      </c>
      <c r="C7" s="4" t="s">
        <v>50</v>
      </c>
      <c r="D7" s="4" t="s">
        <v>12</v>
      </c>
      <c r="E7" s="4" t="s">
        <v>12</v>
      </c>
    </row>
    <row r="8" customFormat="false" ht="15" hidden="false" customHeight="false" outlineLevel="0" collapsed="false">
      <c r="A8" s="4" t="s">
        <v>51</v>
      </c>
      <c r="B8" s="4" t="s">
        <v>52</v>
      </c>
      <c r="C8" s="4" t="s">
        <v>53</v>
      </c>
      <c r="D8" s="4" t="s">
        <v>12</v>
      </c>
      <c r="E8" s="4" t="s">
        <v>12</v>
      </c>
    </row>
    <row r="9" customFormat="false" ht="15" hidden="false" customHeight="false" outlineLevel="0" collapsed="false">
      <c r="A9" s="4" t="s">
        <v>54</v>
      </c>
      <c r="B9" s="4" t="s">
        <v>55</v>
      </c>
      <c r="C9" s="4" t="s">
        <v>56</v>
      </c>
      <c r="D9" s="4" t="s">
        <v>12</v>
      </c>
      <c r="E9" s="4" t="s">
        <v>12</v>
      </c>
    </row>
    <row r="10" customFormat="false" ht="15" hidden="false" customHeight="false" outlineLevel="0" collapsed="false">
      <c r="A10" s="4" t="s">
        <v>57</v>
      </c>
      <c r="B10" s="4" t="s">
        <v>58</v>
      </c>
      <c r="C10" s="4" t="s">
        <v>59</v>
      </c>
      <c r="D10" s="4" t="s">
        <v>12</v>
      </c>
      <c r="E10" s="4" t="s">
        <v>12</v>
      </c>
    </row>
    <row r="11" customFormat="false" ht="15" hidden="false" customHeight="false" outlineLevel="0" collapsed="false">
      <c r="A11" s="4" t="s">
        <v>60</v>
      </c>
      <c r="B11" s="4" t="s">
        <v>61</v>
      </c>
      <c r="C11" s="4" t="s">
        <v>62</v>
      </c>
      <c r="D11" s="4" t="s">
        <v>12</v>
      </c>
      <c r="E11" s="4" t="s">
        <v>12</v>
      </c>
    </row>
    <row r="12" customFormat="false" ht="15" hidden="false" customHeight="false" outlineLevel="0" collapsed="false">
      <c r="A12" s="4" t="s">
        <v>63</v>
      </c>
      <c r="B12" s="4" t="s">
        <v>64</v>
      </c>
      <c r="C12" s="4" t="s">
        <v>65</v>
      </c>
      <c r="D12" s="4" t="s">
        <v>66</v>
      </c>
      <c r="E12" s="4" t="s">
        <v>14</v>
      </c>
    </row>
    <row r="13" customFormat="false" ht="15" hidden="false" customHeight="false" outlineLevel="0" collapsed="false">
      <c r="A13" s="4" t="s">
        <v>67</v>
      </c>
      <c r="B13" s="4" t="s">
        <v>68</v>
      </c>
      <c r="C13" s="4" t="s">
        <v>69</v>
      </c>
      <c r="D13" s="4" t="s">
        <v>66</v>
      </c>
      <c r="E13" s="4" t="s">
        <v>14</v>
      </c>
    </row>
    <row r="14" customFormat="false" ht="15" hidden="false" customHeight="false" outlineLevel="0" collapsed="false">
      <c r="A14" s="4" t="s">
        <v>70</v>
      </c>
      <c r="B14" s="4" t="s">
        <v>71</v>
      </c>
      <c r="C14" s="4" t="s">
        <v>72</v>
      </c>
      <c r="D14" s="4" t="s">
        <v>66</v>
      </c>
      <c r="E14" s="4" t="s">
        <v>14</v>
      </c>
    </row>
    <row r="15" customFormat="false" ht="15" hidden="false" customHeight="false" outlineLevel="0" collapsed="false">
      <c r="A15" s="4" t="s">
        <v>73</v>
      </c>
      <c r="B15" s="4" t="s">
        <v>74</v>
      </c>
      <c r="C15" s="4" t="s">
        <v>75</v>
      </c>
      <c r="D15" s="4" t="s">
        <v>66</v>
      </c>
      <c r="E15" s="4" t="s">
        <v>14</v>
      </c>
    </row>
    <row r="16" customFormat="false" ht="15" hidden="false" customHeight="false" outlineLevel="0" collapsed="false">
      <c r="A16" s="4" t="s">
        <v>76</v>
      </c>
      <c r="B16" s="4" t="s">
        <v>77</v>
      </c>
      <c r="C16" s="4" t="s">
        <v>78</v>
      </c>
      <c r="D16" s="4" t="s">
        <v>66</v>
      </c>
      <c r="E16" s="4" t="s">
        <v>14</v>
      </c>
    </row>
    <row r="17" customFormat="false" ht="15" hidden="false" customHeight="false" outlineLevel="0" collapsed="false">
      <c r="A17" s="4" t="s">
        <v>79</v>
      </c>
      <c r="B17" s="4" t="s">
        <v>80</v>
      </c>
      <c r="C17" s="4" t="s">
        <v>81</v>
      </c>
      <c r="D17" s="4" t="s">
        <v>66</v>
      </c>
      <c r="E17" s="4" t="s">
        <v>14</v>
      </c>
    </row>
    <row r="18" customFormat="false" ht="15" hidden="false" customHeight="false" outlineLevel="0" collapsed="false">
      <c r="A18" s="4" t="s">
        <v>82</v>
      </c>
      <c r="B18" s="4" t="s">
        <v>83</v>
      </c>
      <c r="C18" s="4" t="s">
        <v>84</v>
      </c>
      <c r="D18" s="4" t="s">
        <v>66</v>
      </c>
      <c r="E18" s="4" t="s">
        <v>14</v>
      </c>
    </row>
    <row r="19" customFormat="false" ht="15" hidden="false" customHeight="false" outlineLevel="0" collapsed="false">
      <c r="A19" s="4" t="s">
        <v>85</v>
      </c>
      <c r="B19" s="4" t="s">
        <v>86</v>
      </c>
      <c r="C19" s="4" t="s">
        <v>87</v>
      </c>
      <c r="D19" s="4" t="s">
        <v>66</v>
      </c>
      <c r="E19" s="4" t="s">
        <v>14</v>
      </c>
    </row>
    <row r="20" customFormat="false" ht="15" hidden="false" customHeight="false" outlineLevel="0" collapsed="false">
      <c r="A20" s="4" t="s">
        <v>88</v>
      </c>
      <c r="B20" s="4" t="s">
        <v>89</v>
      </c>
      <c r="C20" s="4" t="s">
        <v>90</v>
      </c>
      <c r="D20" s="4" t="s">
        <v>66</v>
      </c>
      <c r="E20" s="4" t="s">
        <v>14</v>
      </c>
    </row>
    <row r="21" customFormat="false" ht="15" hidden="false" customHeight="false" outlineLevel="0" collapsed="false">
      <c r="A21" s="4" t="s">
        <v>91</v>
      </c>
      <c r="B21" s="4" t="s">
        <v>92</v>
      </c>
      <c r="C21" s="4" t="s">
        <v>93</v>
      </c>
      <c r="D21" s="4" t="s">
        <v>17</v>
      </c>
      <c r="E21" s="4" t="s">
        <v>17</v>
      </c>
    </row>
    <row r="22" customFormat="false" ht="15" hidden="false" customHeight="false" outlineLevel="0" collapsed="false">
      <c r="A22" s="4" t="s">
        <v>94</v>
      </c>
      <c r="B22" s="4" t="s">
        <v>95</v>
      </c>
      <c r="C22" s="4" t="s">
        <v>96</v>
      </c>
      <c r="D22" s="4" t="s">
        <v>17</v>
      </c>
      <c r="E22" s="4" t="s">
        <v>17</v>
      </c>
    </row>
    <row r="23" customFormat="false" ht="15" hidden="false" customHeight="false" outlineLevel="0" collapsed="false">
      <c r="A23" s="4" t="s">
        <v>97</v>
      </c>
      <c r="B23" s="4" t="s">
        <v>98</v>
      </c>
      <c r="C23" s="4" t="s">
        <v>99</v>
      </c>
      <c r="D23" s="4" t="s">
        <v>17</v>
      </c>
      <c r="E23" s="4" t="s">
        <v>17</v>
      </c>
    </row>
    <row r="24" customFormat="false" ht="15" hidden="false" customHeight="false" outlineLevel="0" collapsed="false">
      <c r="A24" s="4" t="s">
        <v>100</v>
      </c>
      <c r="B24" s="4" t="s">
        <v>101</v>
      </c>
      <c r="C24" s="4" t="s">
        <v>102</v>
      </c>
      <c r="D24" s="4" t="s">
        <v>17</v>
      </c>
      <c r="E24" s="4" t="s">
        <v>17</v>
      </c>
    </row>
    <row r="25" customFormat="false" ht="15" hidden="false" customHeight="false" outlineLevel="0" collapsed="false">
      <c r="A25" s="4" t="s">
        <v>103</v>
      </c>
      <c r="B25" s="4" t="s">
        <v>104</v>
      </c>
      <c r="C25" s="4" t="s">
        <v>105</v>
      </c>
      <c r="D25" s="4" t="s">
        <v>106</v>
      </c>
      <c r="E25" s="4" t="s">
        <v>18</v>
      </c>
    </row>
    <row r="26" customFormat="false" ht="15" hidden="false" customHeight="false" outlineLevel="0" collapsed="false">
      <c r="A26" s="4" t="s">
        <v>107</v>
      </c>
      <c r="B26" s="4" t="s">
        <v>108</v>
      </c>
      <c r="C26" s="4" t="s">
        <v>109</v>
      </c>
      <c r="D26" s="4" t="s">
        <v>106</v>
      </c>
      <c r="E26" s="4" t="s">
        <v>18</v>
      </c>
    </row>
    <row r="27" customFormat="false" ht="15" hidden="false" customHeight="false" outlineLevel="0" collapsed="false">
      <c r="A27" s="4" t="s">
        <v>110</v>
      </c>
      <c r="B27" s="4" t="s">
        <v>111</v>
      </c>
      <c r="C27" s="4" t="s">
        <v>110</v>
      </c>
      <c r="D27" s="4" t="s">
        <v>106</v>
      </c>
      <c r="E27" s="4" t="s">
        <v>18</v>
      </c>
    </row>
    <row r="28" customFormat="false" ht="15" hidden="false" customHeight="false" outlineLevel="0" collapsed="false">
      <c r="A28" s="4" t="s">
        <v>112</v>
      </c>
      <c r="B28" s="4" t="s">
        <v>113</v>
      </c>
      <c r="C28" s="4" t="s">
        <v>112</v>
      </c>
      <c r="D28" s="4" t="s">
        <v>106</v>
      </c>
      <c r="E28" s="4" t="s">
        <v>18</v>
      </c>
    </row>
    <row r="29" customFormat="false" ht="15" hidden="false" customHeight="false" outlineLevel="0" collapsed="false">
      <c r="A29" s="4" t="s">
        <v>114</v>
      </c>
      <c r="B29" s="4" t="s">
        <v>115</v>
      </c>
      <c r="C29" s="4" t="s">
        <v>116</v>
      </c>
      <c r="D29" s="4" t="s">
        <v>20</v>
      </c>
      <c r="E29" s="4" t="s">
        <v>20</v>
      </c>
    </row>
    <row r="30" customFormat="false" ht="15" hidden="false" customHeight="false" outlineLevel="0" collapsed="false">
      <c r="A30" s="4" t="s">
        <v>117</v>
      </c>
      <c r="B30" s="4" t="s">
        <v>118</v>
      </c>
      <c r="C30" s="4" t="s">
        <v>119</v>
      </c>
      <c r="D30" s="4" t="s">
        <v>20</v>
      </c>
      <c r="E30" s="4" t="s">
        <v>20</v>
      </c>
    </row>
    <row r="31" customFormat="false" ht="15" hidden="false" customHeight="false" outlineLevel="0" collapsed="false">
      <c r="A31" s="4" t="s">
        <v>120</v>
      </c>
      <c r="B31" s="4" t="s">
        <v>121</v>
      </c>
      <c r="C31" s="4" t="s">
        <v>122</v>
      </c>
      <c r="D31" s="4" t="s">
        <v>20</v>
      </c>
      <c r="E31" s="4" t="s">
        <v>20</v>
      </c>
    </row>
    <row r="33" customFormat="false" ht="15" hidden="false" customHeight="false" outlineLevel="0" collapsed="false">
      <c r="A33" s="10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2026-07-29T19:42:16Z</dcterms:created>
  <dc:creator>openpyxl</dc:creator>
  <dc:description/>
  <dc:language>en-US</dc:language>
  <cp:lastModifiedBy/>
  <dcterms:modified xsi:type="dcterms:W3CDTF">2026-07-29T19:42:16Z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